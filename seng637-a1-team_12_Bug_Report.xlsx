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ofc.sharepoint.com/sites/ENSF637-Group12/Shared Documents/General/Assignment 1/"/>
    </mc:Choice>
  </mc:AlternateContent>
  <xr:revisionPtr revIDLastSave="1091" documentId="11_444783030089925D1EC7C97991477E1190BFCEF8" xr6:coauthVersionLast="47" xr6:coauthVersionMax="47" xr10:uidLastSave="{D4A78029-79D2-47AF-9FB5-3E547DC523E8}"/>
  <bookViews>
    <workbookView xWindow="29610" yWindow="1785" windowWidth="28110" windowHeight="1644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 a="1"/>
  <c r="J4" i="1" s="1"/>
  <c r="J3" i="1" a="1"/>
  <c r="J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<sst xmlns="http://schemas.openxmlformats.org/spreadsheetml/2006/main" count="483" uniqueCount="236">
  <si>
    <t>Bug Test Report</t>
  </si>
  <si>
    <t>Last used codes</t>
  </si>
  <si>
    <t>EXP</t>
  </si>
  <si>
    <t>SCR</t>
  </si>
  <si>
    <t>Project name:</t>
  </si>
  <si>
    <t>SENG 637 Assignment 1 Group 12</t>
  </si>
  <si>
    <t>Bug ID</t>
  </si>
  <si>
    <t>Version</t>
  </si>
  <si>
    <t>Test Type</t>
  </si>
  <si>
    <t>Title/Summary</t>
  </si>
  <si>
    <t>Function</t>
  </si>
  <si>
    <t>Environment</t>
  </si>
  <si>
    <t>State</t>
  </si>
  <si>
    <t>Step-by-step</t>
  </si>
  <si>
    <t>Expected result</t>
  </si>
  <si>
    <t>Actual result</t>
  </si>
  <si>
    <t>Attachment</t>
  </si>
  <si>
    <t>Status</t>
  </si>
  <si>
    <t>Severity</t>
  </si>
  <si>
    <t>Priority</t>
  </si>
  <si>
    <t>Reporter</t>
  </si>
  <si>
    <t>Notes/Comments</t>
  </si>
  <si>
    <t>Regression Test Version</t>
  </si>
  <si>
    <t>Regression Test Status</t>
  </si>
  <si>
    <t>Regression Notes / Comments</t>
  </si>
  <si>
    <t>[Unique bug name]</t>
  </si>
  <si>
    <t>[e.g. V1.0, V1.1]</t>
  </si>
  <si>
    <t>[Exploratory Testing, Manual Scripted]</t>
  </si>
  <si>
    <t>[Give a short and clear description of the issue]</t>
  </si>
  <si>
    <t>[e.g. withdrawal, inquiry, ec.]</t>
  </si>
  <si>
    <t>[Describe the exact conditions in which the bug appeared. E.g., OS, OS version, app type, app version, etc.]</t>
  </si>
  <si>
    <t>[Describe the state of the system the bug occurred in. E.g. Logged in Idle, during transaction, etc.]</t>
  </si>
  <si>
    <t>[List the exact steps you took before the issue manifested]</t>
  </si>
  <si>
    <t>[Describe what was supposed to happen]</t>
  </si>
  <si>
    <t>[Describe what actually happened]</t>
  </si>
  <si>
    <r>
      <rPr>
        <sz val="11"/>
        <color rgb="FF000000"/>
        <rFont val="Inter"/>
      </rPr>
      <t>@</t>
    </r>
    <r>
      <rPr>
        <sz val="11"/>
        <color rgb="FF666666"/>
        <rFont val="Inter"/>
      </rPr>
      <t xml:space="preserve"> [type @ to add]</t>
    </r>
  </si>
  <si>
    <t>To do</t>
  </si>
  <si>
    <t>High</t>
  </si>
  <si>
    <t>[Additional notes or comments regarding the issue]</t>
  </si>
  <si>
    <t>Pending</t>
  </si>
  <si>
    <t>EXP-01</t>
  </si>
  <si>
    <t>V1.0</t>
  </si>
  <si>
    <t>Exploratory</t>
  </si>
  <si>
    <t>16-digit card number rejected on insert</t>
  </si>
  <si>
    <t>Authentication</t>
  </si>
  <si>
    <t>ATM Simulation V1.0 on Windows 10</t>
  </si>
  <si>
    <t>Card Number Entry Menu</t>
  </si>
  <si>
    <t>Insert card → enter 16-digit card number</t>
  </si>
  <si>
    <t>Card number validation should handle large inputs or reject gracefully</t>
  </si>
  <si>
    <t>Card number not accepted due to integer overflow (max 2,147,483,647)</t>
  </si>
  <si>
    <t>Medium</t>
  </si>
  <si>
    <t>Jason Chiu</t>
  </si>
  <si>
    <t>Card number stored as 32-bit int</t>
  </si>
  <si>
    <t>V1.1</t>
  </si>
  <si>
    <t>EXP-02</t>
  </si>
  <si>
    <t>PIN &gt; 2,147,483,647 crashes simulation</t>
  </si>
  <si>
    <t>Card Number accepted, PIN Entry Screen</t>
  </si>
  <si>
    <t>Insert valid card number → enter very large PIN (&gt; 2,147,483,647)</t>
  </si>
  <si>
    <t>Error message or rejection</t>
  </si>
  <si>
    <t>Simulation freezes; screens blank, buttons unresponsive, Pin breaks simulation due to interger overflow value (max 2,147,483,647)</t>
  </si>
  <si>
    <t>Critical</t>
  </si>
  <si>
    <t>Requires force termination</t>
  </si>
  <si>
    <t>EXP-03</t>
  </si>
  <si>
    <t>Invalid menu selection dispenses $20</t>
  </si>
  <si>
    <t>Menu Navigation</t>
  </si>
  <si>
    <t>Logged in on any valid card number in any selection screen menu</t>
  </si>
  <si>
    <t>Select menu option outside of the available ranges</t>
  </si>
  <si>
    <t>Error message: option unavailable</t>
  </si>
  <si>
    <t>$20 dispensed automatically</t>
  </si>
  <si>
    <t>Occurs across multiple menus</t>
  </si>
  <si>
    <t>Failed</t>
  </si>
  <si>
    <t>Now only the first unvailble option dispenses $20, the rest do nothing as expected (e.g. 1-3 options available, 4 dispenses, 5+ do nothing)</t>
  </si>
  <si>
    <t>EXP-04</t>
  </si>
  <si>
    <t>Balance inquiry missing savings account (Card #1)</t>
  </si>
  <si>
    <t>Balance Inquiry</t>
  </si>
  <si>
    <t>Logged In on Card number: 1</t>
  </si>
  <si>
    <t>Card #1 → Balance Inquiry</t>
  </si>
  <si>
    <t>Checking + Savings options shown</t>
  </si>
  <si>
    <t>Checking + Money Market shown</t>
  </si>
  <si>
    <t>Major</t>
  </si>
  <si>
    <t>Incorrect account mapping</t>
  </si>
  <si>
    <t>Passed</t>
  </si>
  <si>
    <t>EXP-05</t>
  </si>
  <si>
    <t>Money market inquiry causes error but prints savings receipt</t>
  </si>
  <si>
    <t>Card #1 → Balance Inquiry → Money Market</t>
  </si>
  <si>
    <t>Error or correct inquiry</t>
  </si>
  <si>
    <t>Error on ATM screen shown; $500 dispensed; receipt shows savings balance</t>
  </si>
  <si>
    <t>Multiple defects in one flow</t>
  </si>
  <si>
    <t>Now Inquiring savings instead of money market dispenses $500 with a screen error shown but savings balance receipt printed</t>
  </si>
  <si>
    <t>EXP-06</t>
  </si>
  <si>
    <t>Receipt printer not cleared between inquiries</t>
  </si>
  <si>
    <t>Receipt Printer</t>
  </si>
  <si>
    <t>Balance Inquiry twice without taking receipt</t>
  </si>
  <si>
    <t>Printer resets between transactions</t>
  </si>
  <si>
    <t>Receipt accumulates until taken</t>
  </si>
  <si>
    <t>Minor</t>
  </si>
  <si>
    <t>Low</t>
  </si>
  <si>
    <t>UI/state issue, perhaps intentional design</t>
  </si>
  <si>
    <t>EXP-09</t>
  </si>
  <si>
    <t>Typo in insufficient funds message</t>
  </si>
  <si>
    <t>UI Text</t>
  </si>
  <si>
    <t>Cancel transaction after insufficient funds</t>
  </si>
  <si>
    <t>Proper spelling</t>
  </si>
  <si>
    <t>“wood you like to do another transaction?”</t>
  </si>
  <si>
    <t>Cosmetic</t>
  </si>
  <si>
    <t>Done</t>
  </si>
  <si>
    <t>EXP-10</t>
  </si>
  <si>
    <t>Transferring $0.01 shows negative formatted amount</t>
  </si>
  <si>
    <t>Transfer</t>
  </si>
  <si>
    <t>Transfer $0.01 Checking → Savings</t>
  </si>
  <si>
    <t>$0.01 transferred</t>
  </si>
  <si>
    <t>Shows “$0.0-49”, balances incorrect</t>
  </si>
  <si>
    <t>Formatting + logic bug</t>
  </si>
  <si>
    <t>EXP-11</t>
  </si>
  <si>
    <t>Money market invalid for Card #2 balance inquiry</t>
  </si>
  <si>
    <t>Logged In on Card number: 2</t>
  </si>
  <si>
    <t>Balance Inquiry → Money Market</t>
  </si>
  <si>
    <t>Valid inquiry as this account type exists on this card</t>
  </si>
  <si>
    <t>Invalid account type error</t>
  </si>
  <si>
    <t>Contradicts requirements</t>
  </si>
  <si>
    <t>EXP-22</t>
  </si>
  <si>
    <t>$10 missing from balance when depositing into checking account</t>
  </si>
  <si>
    <t>Deposit</t>
  </si>
  <si>
    <t>ATM Simulation V1.0 Operating on MacOS 15.6</t>
  </si>
  <si>
    <t>Customer logged in on card 1, checking account balance of $100</t>
  </si>
  <si>
    <t>Select Deposit, Select any account, Enter $100, Click insert envelope</t>
  </si>
  <si>
    <t>$100 deposited, new  balance of $200</t>
  </si>
  <si>
    <t>$100 deposited, new  balance of $190</t>
  </si>
  <si>
    <t>SCR-06</t>
  </si>
  <si>
    <t>William Watson</t>
  </si>
  <si>
    <t>$10 missing from new account balance</t>
  </si>
  <si>
    <t>$0.10 missing from deposit balance</t>
  </si>
  <si>
    <t>EXP-23</t>
  </si>
  <si>
    <t>$0.50 not transferred correctly from savings to checking</t>
  </si>
  <si>
    <t>Customer logged in on card 1, checking account balance of $100, saving account balance of $1,000</t>
  </si>
  <si>
    <t>Select transfer, select From Savings, Select To Checking, Enter amount $100</t>
  </si>
  <si>
    <t>$100 transferred from savings to checking, with checking balance $200, savings balance $900</t>
  </si>
  <si>
    <t>$99.50 transferred, with checking balance $199.50, and savings balance $900.50</t>
  </si>
  <si>
    <t>SCR-07</t>
  </si>
  <si>
    <t>$0.50 not transferred</t>
  </si>
  <si>
    <t>EXP-24</t>
  </si>
  <si>
    <t>After transferring additional $100 from savings to checking, still cannot withdraw $100 with balance of $199.50</t>
  </si>
  <si>
    <t>Withdrawal</t>
  </si>
  <si>
    <t>Customer logged in on card 1, checking account balance of $199.50</t>
  </si>
  <si>
    <t>Select Withdrawal, Select Checking, Select $100</t>
  </si>
  <si>
    <t>$100 withdrawn, $0 remaining in checking account.</t>
  </si>
  <si>
    <t>Insufficient funds statement</t>
  </si>
  <si>
    <t>Incorrect statement of funds</t>
  </si>
  <si>
    <t>EXP-26</t>
  </si>
  <si>
    <t>Withdrawing $100 from savings dispenses $200</t>
  </si>
  <si>
    <t>Customer logged in on card 1, savings account balance of $960</t>
  </si>
  <si>
    <t>Select Withdrawal, Select Savings, Select $100</t>
  </si>
  <si>
    <t>$100 withdrawn, $860 remaining in savings account.</t>
  </si>
  <si>
    <t>$200 withdrawn, $760 remaining in savings account</t>
  </si>
  <si>
    <t>Wrong amount dispensed</t>
  </si>
  <si>
    <t>EXP-28</t>
  </si>
  <si>
    <t>Card #2 has access to a savings account</t>
  </si>
  <si>
    <t>Security</t>
  </si>
  <si>
    <t>ATM Simulation V1.0 Operating on MacOS 15.5</t>
  </si>
  <si>
    <t>Customer logged in on card 2</t>
  </si>
  <si>
    <t>Choose withdrawal, deposit, transfer, or balance inquiry</t>
  </si>
  <si>
    <t>Only Checking and Money Market accounts should be presented</t>
  </si>
  <si>
    <t>Savings account is presented</t>
  </si>
  <si>
    <t>Jack Shenfield</t>
  </si>
  <si>
    <t>SCR-01</t>
  </si>
  <si>
    <t>Test Case #03</t>
  </si>
  <si>
    <t>Cannot check balance of savings account.</t>
  </si>
  <si>
    <t>Inquiry</t>
  </si>
  <si>
    <t>Customer logged in on card 1</t>
  </si>
  <si>
    <t>Select balance inquiry</t>
  </si>
  <si>
    <t>See balance inqury options for checking, savings, and Money Market</t>
  </si>
  <si>
    <t>Only Checking and Money Market are available</t>
  </si>
  <si>
    <t>Savings account balance inquiry missing</t>
  </si>
  <si>
    <t>SCR-02</t>
  </si>
  <si>
    <t>Test Case #14</t>
  </si>
  <si>
    <t>Cannot withdraw from checking account</t>
  </si>
  <si>
    <t>Select Withdrawal, select checking, select $20 with over $20 in account and over $20 cash in ATM.</t>
  </si>
  <si>
    <t>Withdrawal goes through, cash ejected, receipt printed</t>
  </si>
  <si>
    <t>Error on ATM screen shown: Insufficient cash available</t>
  </si>
  <si>
    <t>SCR-03</t>
  </si>
  <si>
    <t>Test Case #37</t>
  </si>
  <si>
    <t>Invalid PIN re-entry, first re-entry not immediately accepted</t>
  </si>
  <si>
    <t>Customer entered incorrect pin twice on card 1 and card 2</t>
  </si>
  <si>
    <t>Start machine and enter in valid card number and an invalid PIN once, then when prompted again, enter valid PIN</t>
  </si>
  <si>
    <t>Correct valid PIN accepted and main account menu appears</t>
  </si>
  <si>
    <t>valid PIN taken, but message does not state PIN is incorrect, only to re enter PIN again</t>
  </si>
  <si>
    <t>Requiring re-entry of valid PIN twice may be intentional design but does not align with Use Case expectation</t>
  </si>
  <si>
    <t>SCR-04</t>
  </si>
  <si>
    <t>Test Case #39</t>
  </si>
  <si>
    <t>Invalid PIN re-entry, second re-entry not immediately accepted</t>
  </si>
  <si>
    <t>Start machine and enter in valid card number and an invalid PIN twice, then when prompted again, enter valid PIN</t>
  </si>
  <si>
    <t>SCR-05</t>
  </si>
  <si>
    <t>Test Case #40</t>
  </si>
  <si>
    <t>Invalid PIN re-entry, third re-entry not allowed</t>
  </si>
  <si>
    <t>Start machine and enter in valid card number and an invalid PIN twice, then when prompted again, enter an invalid PIN</t>
  </si>
  <si>
    <t>third retry is not allowed and card is retained by bank</t>
  </si>
  <si>
    <t>Intended function misaligned with Use Case functionality specificity</t>
  </si>
  <si>
    <t>Use Case implies allowing 3 failures and a 4th attempt but only 2 failures are allowed which again is misaligned with Use Case</t>
  </si>
  <si>
    <t>Test Case #22</t>
  </si>
  <si>
    <t>Incorrect deposits amounts</t>
  </si>
  <si>
    <t>ATM Simulation V1.0 on arch Linux 6.18.7</t>
  </si>
  <si>
    <t>Customer logged in on card 1 and deposits money into checking</t>
  </si>
  <si>
    <t>Starm machine and enter valid card details. Then select deposit and checking account. Enter any number.</t>
  </si>
  <si>
    <t>Receipt output with new balance being the initial balance plus the deposited amount</t>
  </si>
  <si>
    <t xml:space="preserve">receipt output with new balance being plus the deposited amount with $10 subtracted. </t>
  </si>
  <si>
    <t>major</t>
  </si>
  <si>
    <t>high</t>
  </si>
  <si>
    <t>Barrett Sapunjis</t>
  </si>
  <si>
    <t>Everything works good except for the fact that $10 is being skimmed. Repeat of EXP-22</t>
  </si>
  <si>
    <t>10 cents is now being skimmed instead of $10</t>
  </si>
  <si>
    <t>Test Case #29</t>
  </si>
  <si>
    <t>Incorrect transfer amount</t>
  </si>
  <si>
    <t>transfer</t>
  </si>
  <si>
    <t xml:space="preserve">Customer logged in on card 1 and selects a transfer from checking to savings. </t>
  </si>
  <si>
    <t xml:space="preserve">start machine and enter valid card details. Selects transfer from checking and to savings. Input any number value and complete the transfer. </t>
  </si>
  <si>
    <t xml:space="preserve">Receipt of transfer displaying that the money was correctly transfers and accounts update accordingly. </t>
  </si>
  <si>
    <t>Receipt of transfer has everything correct, except the updated amount after the transfer is missing 50c</t>
  </si>
  <si>
    <t>Everything works good except for the fact that 50 cents is lost. Bug also found in EXP-23</t>
  </si>
  <si>
    <t>SCR-08</t>
  </si>
  <si>
    <t>Test Case #21</t>
  </si>
  <si>
    <t>Not promptimg user to enter envelope on deposit</t>
  </si>
  <si>
    <t xml:space="preserve">Start machine and enter valid card details. Select deposit and the checking account. Enter a valid integer. </t>
  </si>
  <si>
    <t>The system displays a prompt to get the user to insert an envelope</t>
  </si>
  <si>
    <t>The envelope can be inserted, but the system doesnt do anything to notify the user</t>
  </si>
  <si>
    <t>SCR-09</t>
  </si>
  <si>
    <t>Incorrect deposit amounts</t>
  </si>
  <si>
    <t>This is a continuation of bug SCR-06. But the problem has been reduced to skimming 10cents off the deposit rather than $10</t>
  </si>
  <si>
    <t>V1.2</t>
  </si>
  <si>
    <t>EXP-29</t>
  </si>
  <si>
    <t>Withdrawal menu missing $ infront of 60</t>
  </si>
  <si>
    <t>ATM Simulation V1.1 on Windows 10</t>
  </si>
  <si>
    <t xml:space="preserve">Start machine and enter valid card details. Select withdrawal and any account. </t>
  </si>
  <si>
    <t>Displays the pre-set withdrawal amounts</t>
  </si>
  <si>
    <t>Displays 60 instead of $60. Not matching the rest of the numbers</t>
  </si>
  <si>
    <t>Severe cash-handling defect due to incorrect mapping</t>
  </si>
  <si>
    <t>Notes: 
The final form of the document has reduced the amount of bugs from 36 to 23 due to duplication and generalizing specific issues into a single bug.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</si>
</sst>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0">
    <font>
      <sz val="10"/>
      <color rgb="FF000000"/>
      <name val="Arial"/>
      <scheme val="minor"/>
    </font>
    <font>
      <sz val="30"/>
      <color theme="1"/>
      <name val="Arial"/>
      <family val="2"/>
      <scheme val="minor"/>
    </font>
    <font>
      <sz val="30"/>
      <color rgb="FFFFFFFF"/>
      <name val="Inter"/>
    </font>
    <font>
      <sz val="10"/>
      <color theme="1"/>
      <name val="Rubik"/>
    </font>
    <font>
      <b/>
      <sz val="13"/>
      <color rgb="FF000000"/>
      <name val="Roboto"/>
    </font>
    <font>
      <sz val="13"/>
      <color rgb="FFFFFFFF"/>
      <name val="Inter"/>
    </font>
    <font>
      <sz val="13"/>
      <color rgb="FF000000"/>
      <name val="Rubik"/>
    </font>
    <font>
      <sz val="10"/>
      <name val="Arial"/>
      <family val="2"/>
    </font>
    <font>
      <b/>
      <sz val="13"/>
      <color rgb="FF000000"/>
      <name val="Rubik"/>
    </font>
    <font>
      <b/>
      <sz val="11"/>
      <color rgb="FF999999"/>
      <name val="Rubik"/>
    </font>
    <font>
      <sz val="11"/>
      <color rgb="FF666666"/>
      <name val="Inter"/>
    </font>
    <font>
      <sz val="10"/>
      <color theme="1"/>
      <name val="Arial"/>
      <family val="2"/>
      <scheme val="minor"/>
    </font>
    <font>
      <sz val="11"/>
      <color theme="1"/>
      <name val="Inter"/>
    </font>
    <font>
      <sz val="10"/>
      <color rgb="FF000000"/>
      <name val="Arial"/>
      <family val="2"/>
      <scheme val="minor"/>
    </font>
    <font>
      <sz val="11"/>
      <color rgb="FF000000"/>
      <name val="Inter"/>
    </font>
    <font>
      <sz val="11"/>
      <color rgb="FFFFFFFF"/>
      <name val="Inter"/>
    </font>
    <font>
      <sz val="11"/>
      <color rgb="FF000000"/>
      <name val="Arial"/>
      <family val="2"/>
      <scheme val="minor"/>
    </font>
    <font>
      <sz val="11"/>
      <color theme="1"/>
      <name val="Rubik"/>
    </font>
    <font>
      <sz val="8"/>
      <name val="Arial"/>
      <family val="2"/>
      <scheme val="minor"/>
    </font>
    <font>
      <sz val="12"/>
      <color theme="2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E8AFF"/>
        <bgColor rgb="FF4E8AFF"/>
      </patternFill>
    </fill>
    <fill>
      <patternFill patternType="solid">
        <fgColor theme="4"/>
        <bgColor rgb="FF4E8AFF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7" fillId="0" borderId="0" xfId="0" applyFont="1"/>
    <xf numFmtId="0" fontId="13" fillId="0" borderId="0" xfId="0" applyFont="1"/>
    <xf numFmtId="49" fontId="8" fillId="0" borderId="0" xfId="0" applyNumberFormat="1" applyFont="1" applyAlignment="1">
      <alignment horizontal="center" wrapText="1"/>
    </xf>
    <xf numFmtId="49" fontId="0" fillId="0" borderId="0" xfId="0" applyNumberFormat="1"/>
    <xf numFmtId="49" fontId="3" fillId="0" borderId="0" xfId="0" applyNumberFormat="1" applyFont="1"/>
    <xf numFmtId="0" fontId="12" fillId="0" borderId="1" xfId="0" applyFont="1" applyBorder="1" applyAlignment="1">
      <alignment horizontal="center" vertical="top" wrapText="1"/>
    </xf>
    <xf numFmtId="0" fontId="15" fillId="3" borderId="9" xfId="0" applyFont="1" applyFill="1" applyBorder="1" applyAlignment="1">
      <alignment horizontal="center" vertical="center" wrapText="1"/>
    </xf>
    <xf numFmtId="49" fontId="15" fillId="3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7" fillId="0" borderId="0" xfId="0" applyFont="1"/>
    <xf numFmtId="49" fontId="17" fillId="0" borderId="0" xfId="0" applyNumberFormat="1" applyFont="1"/>
    <xf numFmtId="0" fontId="16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49" fontId="17" fillId="0" borderId="10" xfId="0" applyNumberFormat="1" applyFont="1" applyBorder="1" applyAlignment="1">
      <alignment horizontal="center" vertical="center" wrapText="1"/>
    </xf>
    <xf numFmtId="6" fontId="17" fillId="0" borderId="10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0" fontId="0" fillId="4" borderId="0" xfId="0" applyFill="1"/>
    <xf numFmtId="0" fontId="12" fillId="4" borderId="10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9" fillId="5" borderId="10" xfId="0" applyFont="1" applyFill="1" applyBorder="1" applyAlignment="1">
      <alignment horizontal="center" vertical="center"/>
    </xf>
    <xf numFmtId="0" fontId="13" fillId="0" borderId="10" xfId="0" applyFont="1" applyBorder="1"/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104775</xdr:rowOff>
    </xdr:from>
    <xdr:to>
      <xdr:col>14</xdr:col>
      <xdr:colOff>447675</xdr:colOff>
      <xdr:row>16</xdr:row>
      <xdr:rowOff>142875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E5205F9-213D-3927-1A38-3B0DFC9E8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04775"/>
          <a:ext cx="8696325" cy="262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V58"/>
  <sheetViews>
    <sheetView tabSelected="1" zoomScale="85" zoomScaleNormal="85" workbookViewId="0">
      <pane xSplit="1" ySplit="8" topLeftCell="B29" activePane="bottomRight" state="frozen"/>
      <selection pane="topRight" activeCell="B1" sqref="B1"/>
      <selection pane="bottomLeft" activeCell="A9" sqref="A9"/>
      <selection pane="bottomRight" activeCell="C32" sqref="C32"/>
    </sheetView>
  </sheetViews>
  <sheetFormatPr defaultColWidth="12.42578125" defaultRowHeight="12.75"/>
  <cols>
    <col min="1" max="1" width="4.28515625" customWidth="1"/>
    <col min="2" max="2" width="11.85546875" customWidth="1"/>
    <col min="3" max="3" width="11.85546875" style="11" customWidth="1"/>
    <col min="4" max="4" width="11.85546875" customWidth="1"/>
    <col min="5" max="5" width="21.28515625" customWidth="1"/>
    <col min="6" max="6" width="18.28515625" customWidth="1"/>
    <col min="7" max="7" width="21.42578125" customWidth="1"/>
    <col min="8" max="8" width="19.42578125" customWidth="1"/>
    <col min="9" max="9" width="27.42578125" customWidth="1"/>
    <col min="10" max="10" width="25.85546875" customWidth="1"/>
    <col min="11" max="11" width="27.42578125" customWidth="1"/>
    <col min="12" max="12" width="14.7109375" customWidth="1"/>
    <col min="16" max="16" width="18.140625" customWidth="1"/>
    <col min="17" max="17" width="21.42578125" customWidth="1"/>
    <col min="18" max="18" width="19.7109375" customWidth="1"/>
    <col min="19" max="19" width="26.42578125" customWidth="1"/>
    <col min="20" max="20" width="25.140625" customWidth="1"/>
    <col min="21" max="21" width="18.140625" customWidth="1"/>
    <col min="22" max="22" width="22.28515625" customWidth="1"/>
  </cols>
  <sheetData>
    <row r="1" spans="1:21" ht="18" customHeight="1">
      <c r="A1" s="1"/>
      <c r="B1" s="44" t="s">
        <v>0</v>
      </c>
      <c r="C1" s="44"/>
      <c r="D1" s="44"/>
      <c r="E1" s="44"/>
      <c r="F1" s="44"/>
      <c r="G1" s="44"/>
      <c r="J1" s="9"/>
      <c r="M1" s="46"/>
      <c r="N1" s="46"/>
      <c r="O1" s="46"/>
      <c r="P1" s="46"/>
      <c r="Q1" s="46"/>
      <c r="R1" s="46"/>
      <c r="S1" s="2"/>
    </row>
    <row r="2" spans="1:21" ht="18" customHeight="1">
      <c r="A2" s="1"/>
      <c r="B2" s="44"/>
      <c r="C2" s="44"/>
      <c r="D2" s="44"/>
      <c r="E2" s="44"/>
      <c r="F2" s="44"/>
      <c r="G2" s="44"/>
      <c r="I2" s="47" t="s">
        <v>1</v>
      </c>
      <c r="J2" s="47"/>
      <c r="K2" s="50" t="s">
        <v>235</v>
      </c>
      <c r="L2" s="51"/>
      <c r="M2" s="51"/>
      <c r="N2" s="51"/>
      <c r="O2" s="51"/>
      <c r="P2" s="51"/>
      <c r="Q2" s="52"/>
      <c r="R2" s="46"/>
      <c r="S2" s="2"/>
    </row>
    <row r="3" spans="1:21" ht="18" customHeight="1">
      <c r="A3" s="1"/>
      <c r="B3" s="45"/>
      <c r="C3" s="45"/>
      <c r="D3" s="45"/>
      <c r="E3" s="45"/>
      <c r="F3" s="45"/>
      <c r="G3" s="45"/>
      <c r="I3" s="48" t="s">
        <v>2</v>
      </c>
      <c r="J3" s="48" cm="1">
        <f t="array" ref="J3">MAX(IF(LEFT(B:B,3)="EXP",VALUE(RIGHT(B:B,2))))</f>
        <v>29</v>
      </c>
      <c r="K3" s="49"/>
      <c r="L3" s="53"/>
      <c r="M3" s="53"/>
      <c r="N3" s="53"/>
      <c r="O3" s="53"/>
      <c r="P3" s="53"/>
      <c r="Q3" s="54"/>
      <c r="R3" s="46"/>
      <c r="S3" s="2"/>
    </row>
    <row r="4" spans="1:21" ht="16.5">
      <c r="A4" s="3"/>
      <c r="B4" s="36" t="s">
        <v>4</v>
      </c>
      <c r="C4" s="38" t="s">
        <v>5</v>
      </c>
      <c r="D4" s="39"/>
      <c r="E4" s="39"/>
      <c r="F4" s="39"/>
      <c r="G4" s="40"/>
      <c r="H4" s="9"/>
      <c r="I4" s="48" t="s">
        <v>3</v>
      </c>
      <c r="J4" s="48" cm="1">
        <f t="array" ref="J4">MAX(IF(LEFT(B:B,3)="SCR",VALUE(RIGHT(B:B,2))))</f>
        <v>9</v>
      </c>
      <c r="K4" s="55"/>
      <c r="L4" s="56"/>
      <c r="M4" s="56"/>
      <c r="N4" s="56"/>
      <c r="O4" s="56"/>
      <c r="P4" s="56"/>
      <c r="Q4" s="57"/>
      <c r="R4" s="46"/>
      <c r="S4" s="2"/>
    </row>
    <row r="5" spans="1:21" ht="16.5">
      <c r="A5" s="3"/>
      <c r="B5" s="37"/>
      <c r="C5" s="41"/>
      <c r="D5" s="42"/>
      <c r="E5" s="42"/>
      <c r="F5" s="42"/>
      <c r="G5" s="43"/>
      <c r="H5" s="8"/>
      <c r="I5" s="4"/>
      <c r="J5" s="4"/>
      <c r="K5" s="4"/>
      <c r="L5" s="4"/>
      <c r="M5" s="4"/>
      <c r="N5" s="4"/>
      <c r="O5" s="4"/>
      <c r="P5" s="4"/>
      <c r="Q5" s="4"/>
      <c r="R5" s="4"/>
      <c r="S5" s="2"/>
    </row>
    <row r="6" spans="1:21" ht="16.5">
      <c r="A6" s="5"/>
      <c r="B6" s="4"/>
      <c r="C6" s="10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2"/>
    </row>
    <row r="7" spans="1:21" ht="28.5">
      <c r="A7" s="5"/>
      <c r="B7" s="14" t="s">
        <v>6</v>
      </c>
      <c r="C7" s="15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4" t="s">
        <v>15</v>
      </c>
      <c r="L7" s="14" t="s">
        <v>16</v>
      </c>
      <c r="M7" s="14" t="s">
        <v>17</v>
      </c>
      <c r="N7" s="14" t="s">
        <v>18</v>
      </c>
      <c r="O7" s="14" t="s">
        <v>19</v>
      </c>
      <c r="P7" s="14" t="s">
        <v>20</v>
      </c>
      <c r="Q7" s="16" t="s">
        <v>21</v>
      </c>
      <c r="R7" s="16" t="s">
        <v>22</v>
      </c>
      <c r="S7" s="16" t="s">
        <v>23</v>
      </c>
      <c r="T7" s="16" t="s">
        <v>24</v>
      </c>
      <c r="U7" s="16" t="s">
        <v>20</v>
      </c>
    </row>
    <row r="8" spans="1:21" ht="85.5">
      <c r="A8" s="6"/>
      <c r="B8" s="20" t="s">
        <v>25</v>
      </c>
      <c r="C8" s="21" t="s">
        <v>26</v>
      </c>
      <c r="D8" s="20" t="s">
        <v>27</v>
      </c>
      <c r="E8" s="22" t="s">
        <v>28</v>
      </c>
      <c r="F8" s="22" t="s">
        <v>29</v>
      </c>
      <c r="G8" s="22" t="s">
        <v>30</v>
      </c>
      <c r="H8" s="22" t="s">
        <v>31</v>
      </c>
      <c r="I8" s="22" t="s">
        <v>32</v>
      </c>
      <c r="J8" s="22" t="s">
        <v>33</v>
      </c>
      <c r="K8" s="22" t="s">
        <v>34</v>
      </c>
      <c r="L8" s="20" t="s">
        <v>35</v>
      </c>
      <c r="M8" s="13" t="s">
        <v>36</v>
      </c>
      <c r="N8" s="13" t="s">
        <v>18</v>
      </c>
      <c r="O8" s="13" t="s">
        <v>37</v>
      </c>
      <c r="P8" s="20" t="s">
        <v>35</v>
      </c>
      <c r="Q8" s="22" t="s">
        <v>38</v>
      </c>
      <c r="R8" s="21" t="s">
        <v>26</v>
      </c>
      <c r="S8" s="13" t="s">
        <v>39</v>
      </c>
      <c r="T8" s="22" t="s">
        <v>38</v>
      </c>
      <c r="U8" s="20" t="s">
        <v>35</v>
      </c>
    </row>
    <row r="9" spans="1:21" ht="42.75">
      <c r="A9" s="7"/>
      <c r="B9" s="24" t="s">
        <v>40</v>
      </c>
      <c r="C9" s="24" t="s">
        <v>41</v>
      </c>
      <c r="D9" s="24" t="s">
        <v>42</v>
      </c>
      <c r="E9" s="24" t="s">
        <v>43</v>
      </c>
      <c r="F9" s="24" t="s">
        <v>44</v>
      </c>
      <c r="G9" s="24" t="s">
        <v>45</v>
      </c>
      <c r="H9" s="24" t="s">
        <v>46</v>
      </c>
      <c r="I9" s="24" t="s">
        <v>47</v>
      </c>
      <c r="J9" s="24" t="s">
        <v>48</v>
      </c>
      <c r="K9" s="24" t="s">
        <v>49</v>
      </c>
      <c r="L9" s="24"/>
      <c r="M9" s="24" t="s">
        <v>36</v>
      </c>
      <c r="N9" s="24" t="s">
        <v>50</v>
      </c>
      <c r="O9" s="24" t="s">
        <v>50</v>
      </c>
      <c r="P9" s="24" t="s">
        <v>51</v>
      </c>
      <c r="Q9" s="24" t="s">
        <v>52</v>
      </c>
      <c r="R9" s="25" t="s">
        <v>53</v>
      </c>
      <c r="S9" s="28" t="s">
        <v>39</v>
      </c>
      <c r="T9" s="29"/>
      <c r="U9" s="24" t="s">
        <v>51</v>
      </c>
    </row>
    <row r="10" spans="1:21" ht="85.5">
      <c r="A10" s="7"/>
      <c r="B10" s="24" t="s">
        <v>54</v>
      </c>
      <c r="C10" s="24" t="s">
        <v>41</v>
      </c>
      <c r="D10" s="24" t="s">
        <v>42</v>
      </c>
      <c r="E10" s="24" t="s">
        <v>55</v>
      </c>
      <c r="F10" s="24" t="s">
        <v>44</v>
      </c>
      <c r="G10" s="24" t="s">
        <v>45</v>
      </c>
      <c r="H10" s="24" t="s">
        <v>56</v>
      </c>
      <c r="I10" s="24" t="s">
        <v>57</v>
      </c>
      <c r="J10" s="24" t="s">
        <v>58</v>
      </c>
      <c r="K10" s="24" t="s">
        <v>59</v>
      </c>
      <c r="L10" s="24"/>
      <c r="M10" s="24" t="s">
        <v>36</v>
      </c>
      <c r="N10" s="24" t="s">
        <v>60</v>
      </c>
      <c r="O10" s="24" t="s">
        <v>37</v>
      </c>
      <c r="P10" s="24" t="s">
        <v>51</v>
      </c>
      <c r="Q10" s="24" t="s">
        <v>61</v>
      </c>
      <c r="R10" s="25" t="s">
        <v>53</v>
      </c>
      <c r="S10" s="28" t="s">
        <v>39</v>
      </c>
      <c r="T10" s="29"/>
      <c r="U10" s="24" t="s">
        <v>51</v>
      </c>
    </row>
    <row r="11" spans="1:21" ht="99.75">
      <c r="A11" s="7"/>
      <c r="B11" s="24" t="s">
        <v>62</v>
      </c>
      <c r="C11" s="24" t="s">
        <v>41</v>
      </c>
      <c r="D11" s="24" t="s">
        <v>42</v>
      </c>
      <c r="E11" s="24" t="s">
        <v>63</v>
      </c>
      <c r="F11" s="24" t="s">
        <v>64</v>
      </c>
      <c r="G11" s="24" t="s">
        <v>45</v>
      </c>
      <c r="H11" s="24" t="s">
        <v>65</v>
      </c>
      <c r="I11" s="24" t="s">
        <v>66</v>
      </c>
      <c r="J11" s="24" t="s">
        <v>67</v>
      </c>
      <c r="K11" s="24" t="s">
        <v>68</v>
      </c>
      <c r="L11" s="24"/>
      <c r="M11" s="24" t="s">
        <v>36</v>
      </c>
      <c r="N11" s="24" t="s">
        <v>60</v>
      </c>
      <c r="O11" s="24" t="s">
        <v>37</v>
      </c>
      <c r="P11" s="24" t="s">
        <v>51</v>
      </c>
      <c r="Q11" s="24" t="s">
        <v>69</v>
      </c>
      <c r="R11" s="25" t="s">
        <v>53</v>
      </c>
      <c r="S11" s="28" t="s">
        <v>70</v>
      </c>
      <c r="T11" s="29" t="s">
        <v>71</v>
      </c>
      <c r="U11" s="24" t="s">
        <v>51</v>
      </c>
    </row>
    <row r="12" spans="1:21" ht="42.75">
      <c r="A12" s="7"/>
      <c r="B12" s="24" t="s">
        <v>72</v>
      </c>
      <c r="C12" s="24" t="s">
        <v>41</v>
      </c>
      <c r="D12" s="24" t="s">
        <v>42</v>
      </c>
      <c r="E12" s="24" t="s">
        <v>73</v>
      </c>
      <c r="F12" s="24" t="s">
        <v>74</v>
      </c>
      <c r="G12" s="24" t="s">
        <v>45</v>
      </c>
      <c r="H12" s="24" t="s">
        <v>75</v>
      </c>
      <c r="I12" s="24" t="s">
        <v>76</v>
      </c>
      <c r="J12" s="24" t="s">
        <v>77</v>
      </c>
      <c r="K12" s="24" t="s">
        <v>78</v>
      </c>
      <c r="L12" s="24"/>
      <c r="M12" s="24" t="s">
        <v>36</v>
      </c>
      <c r="N12" s="24" t="s">
        <v>79</v>
      </c>
      <c r="O12" s="24" t="s">
        <v>37</v>
      </c>
      <c r="P12" s="24" t="s">
        <v>51</v>
      </c>
      <c r="Q12" s="24" t="s">
        <v>80</v>
      </c>
      <c r="R12" s="25" t="s">
        <v>53</v>
      </c>
      <c r="S12" s="28" t="s">
        <v>81</v>
      </c>
      <c r="U12" s="24" t="s">
        <v>51</v>
      </c>
    </row>
    <row r="13" spans="1:21" ht="85.5">
      <c r="A13" s="7"/>
      <c r="B13" s="24" t="s">
        <v>82</v>
      </c>
      <c r="C13" s="24" t="s">
        <v>41</v>
      </c>
      <c r="D13" s="24" t="s">
        <v>42</v>
      </c>
      <c r="E13" s="24" t="s">
        <v>83</v>
      </c>
      <c r="F13" s="24" t="s">
        <v>74</v>
      </c>
      <c r="G13" s="24" t="s">
        <v>45</v>
      </c>
      <c r="H13" s="24" t="s">
        <v>75</v>
      </c>
      <c r="I13" s="24" t="s">
        <v>84</v>
      </c>
      <c r="J13" s="24" t="s">
        <v>85</v>
      </c>
      <c r="K13" s="24" t="s">
        <v>86</v>
      </c>
      <c r="L13" s="24"/>
      <c r="M13" s="24" t="s">
        <v>36</v>
      </c>
      <c r="N13" s="24" t="s">
        <v>60</v>
      </c>
      <c r="O13" s="24" t="s">
        <v>37</v>
      </c>
      <c r="P13" s="24" t="s">
        <v>51</v>
      </c>
      <c r="Q13" s="24" t="s">
        <v>87</v>
      </c>
      <c r="R13" s="25" t="s">
        <v>53</v>
      </c>
      <c r="S13" s="28" t="s">
        <v>70</v>
      </c>
      <c r="T13" s="24" t="s">
        <v>88</v>
      </c>
      <c r="U13" s="24" t="s">
        <v>51</v>
      </c>
    </row>
    <row r="14" spans="1:21" ht="42.75">
      <c r="A14" s="7"/>
      <c r="B14" s="24" t="s">
        <v>89</v>
      </c>
      <c r="C14" s="24" t="s">
        <v>41</v>
      </c>
      <c r="D14" s="24" t="s">
        <v>42</v>
      </c>
      <c r="E14" s="24" t="s">
        <v>90</v>
      </c>
      <c r="F14" s="24" t="s">
        <v>91</v>
      </c>
      <c r="G14" s="24" t="s">
        <v>45</v>
      </c>
      <c r="H14" s="24" t="s">
        <v>75</v>
      </c>
      <c r="I14" s="24" t="s">
        <v>92</v>
      </c>
      <c r="J14" s="24" t="s">
        <v>93</v>
      </c>
      <c r="K14" s="24" t="s">
        <v>94</v>
      </c>
      <c r="L14" s="24"/>
      <c r="M14" s="24" t="s">
        <v>36</v>
      </c>
      <c r="N14" s="24" t="s">
        <v>95</v>
      </c>
      <c r="O14" s="24" t="s">
        <v>96</v>
      </c>
      <c r="P14" s="24" t="s">
        <v>51</v>
      </c>
      <c r="Q14" s="24" t="s">
        <v>97</v>
      </c>
      <c r="R14" s="25" t="s">
        <v>53</v>
      </c>
      <c r="S14" s="28" t="s">
        <v>39</v>
      </c>
      <c r="T14" s="29"/>
      <c r="U14" s="24" t="s">
        <v>51</v>
      </c>
    </row>
    <row r="15" spans="1:21" ht="28.5">
      <c r="A15" s="7"/>
      <c r="B15" s="24" t="s">
        <v>98</v>
      </c>
      <c r="C15" s="24" t="s">
        <v>41</v>
      </c>
      <c r="D15" s="24" t="s">
        <v>42</v>
      </c>
      <c r="E15" s="24" t="s">
        <v>99</v>
      </c>
      <c r="F15" s="24" t="s">
        <v>100</v>
      </c>
      <c r="G15" s="24" t="s">
        <v>45</v>
      </c>
      <c r="H15" s="24" t="s">
        <v>75</v>
      </c>
      <c r="I15" s="24" t="s">
        <v>101</v>
      </c>
      <c r="J15" s="24" t="s">
        <v>102</v>
      </c>
      <c r="K15" s="24" t="s">
        <v>103</v>
      </c>
      <c r="L15" s="24"/>
      <c r="M15" s="24" t="s">
        <v>36</v>
      </c>
      <c r="N15" s="24" t="s">
        <v>95</v>
      </c>
      <c r="O15" s="24" t="s">
        <v>96</v>
      </c>
      <c r="P15" s="24" t="s">
        <v>51</v>
      </c>
      <c r="Q15" s="24" t="s">
        <v>104</v>
      </c>
      <c r="R15" s="25" t="s">
        <v>53</v>
      </c>
      <c r="S15" s="28" t="s">
        <v>105</v>
      </c>
      <c r="T15" s="29"/>
      <c r="U15" s="24" t="s">
        <v>51</v>
      </c>
    </row>
    <row r="16" spans="1:21" ht="42.75">
      <c r="A16" s="7"/>
      <c r="B16" s="24" t="s">
        <v>106</v>
      </c>
      <c r="C16" s="24" t="s">
        <v>41</v>
      </c>
      <c r="D16" s="24" t="s">
        <v>42</v>
      </c>
      <c r="E16" s="24" t="s">
        <v>107</v>
      </c>
      <c r="F16" s="24" t="s">
        <v>108</v>
      </c>
      <c r="G16" s="24" t="s">
        <v>45</v>
      </c>
      <c r="H16" s="24" t="s">
        <v>75</v>
      </c>
      <c r="I16" s="24" t="s">
        <v>109</v>
      </c>
      <c r="J16" s="24" t="s">
        <v>110</v>
      </c>
      <c r="K16" s="24" t="s">
        <v>111</v>
      </c>
      <c r="L16" s="24"/>
      <c r="M16" s="24" t="s">
        <v>36</v>
      </c>
      <c r="N16" s="24" t="s">
        <v>79</v>
      </c>
      <c r="O16" s="24" t="s">
        <v>37</v>
      </c>
      <c r="P16" s="24" t="s">
        <v>51</v>
      </c>
      <c r="Q16" s="24" t="s">
        <v>112</v>
      </c>
      <c r="R16" s="25" t="s">
        <v>53</v>
      </c>
      <c r="S16" s="28" t="s">
        <v>105</v>
      </c>
      <c r="T16" s="29"/>
      <c r="U16" s="24" t="s">
        <v>51</v>
      </c>
    </row>
    <row r="17" spans="1:74" ht="42.75">
      <c r="A17" s="7"/>
      <c r="B17" s="24" t="s">
        <v>113</v>
      </c>
      <c r="C17" s="24" t="s">
        <v>41</v>
      </c>
      <c r="D17" s="24" t="s">
        <v>42</v>
      </c>
      <c r="E17" s="24" t="s">
        <v>114</v>
      </c>
      <c r="F17" s="24" t="s">
        <v>74</v>
      </c>
      <c r="G17" s="24" t="s">
        <v>45</v>
      </c>
      <c r="H17" s="24" t="s">
        <v>115</v>
      </c>
      <c r="I17" s="24" t="s">
        <v>116</v>
      </c>
      <c r="J17" s="24" t="s">
        <v>117</v>
      </c>
      <c r="K17" s="24" t="s">
        <v>118</v>
      </c>
      <c r="L17" s="24"/>
      <c r="M17" s="24" t="s">
        <v>36</v>
      </c>
      <c r="N17" s="24" t="s">
        <v>79</v>
      </c>
      <c r="O17" s="24" t="s">
        <v>37</v>
      </c>
      <c r="P17" s="24" t="s">
        <v>51</v>
      </c>
      <c r="Q17" s="24" t="s">
        <v>119</v>
      </c>
      <c r="R17" s="25" t="s">
        <v>53</v>
      </c>
      <c r="S17" s="28" t="s">
        <v>105</v>
      </c>
      <c r="T17" s="29"/>
      <c r="U17" s="24" t="s">
        <v>51</v>
      </c>
    </row>
    <row r="18" spans="1:74" s="30" customFormat="1" ht="57">
      <c r="B18" s="31" t="s">
        <v>120</v>
      </c>
      <c r="C18" s="32" t="s">
        <v>41</v>
      </c>
      <c r="D18" s="32" t="s">
        <v>42</v>
      </c>
      <c r="E18" s="32" t="s">
        <v>121</v>
      </c>
      <c r="F18" s="32" t="s">
        <v>122</v>
      </c>
      <c r="G18" s="32" t="s">
        <v>123</v>
      </c>
      <c r="H18" s="32" t="s">
        <v>124</v>
      </c>
      <c r="I18" s="32" t="s">
        <v>125</v>
      </c>
      <c r="J18" s="32" t="s">
        <v>126</v>
      </c>
      <c r="K18" s="32" t="s">
        <v>127</v>
      </c>
      <c r="L18" s="32" t="s">
        <v>128</v>
      </c>
      <c r="M18" s="32" t="s">
        <v>36</v>
      </c>
      <c r="N18" s="32" t="s">
        <v>79</v>
      </c>
      <c r="O18" s="32" t="s">
        <v>37</v>
      </c>
      <c r="P18" s="32" t="s">
        <v>129</v>
      </c>
      <c r="Q18" s="32" t="s">
        <v>130</v>
      </c>
      <c r="R18" s="33" t="s">
        <v>53</v>
      </c>
      <c r="S18" s="34" t="s">
        <v>70</v>
      </c>
      <c r="T18" s="32" t="s">
        <v>131</v>
      </c>
      <c r="U18" s="32" t="s">
        <v>129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</row>
    <row r="19" spans="1:74" s="30" customFormat="1" ht="85.5">
      <c r="B19" s="31" t="s">
        <v>132</v>
      </c>
      <c r="C19" s="32" t="s">
        <v>41</v>
      </c>
      <c r="D19" s="32" t="s">
        <v>42</v>
      </c>
      <c r="E19" s="32" t="s">
        <v>133</v>
      </c>
      <c r="F19" s="32" t="s">
        <v>108</v>
      </c>
      <c r="G19" s="32" t="s">
        <v>123</v>
      </c>
      <c r="H19" s="32" t="s">
        <v>134</v>
      </c>
      <c r="I19" s="32" t="s">
        <v>135</v>
      </c>
      <c r="J19" s="32" t="s">
        <v>136</v>
      </c>
      <c r="K19" s="32" t="s">
        <v>137</v>
      </c>
      <c r="L19" s="32" t="s">
        <v>138</v>
      </c>
      <c r="M19" s="32" t="s">
        <v>36</v>
      </c>
      <c r="N19" s="32" t="s">
        <v>50</v>
      </c>
      <c r="O19" s="32" t="s">
        <v>37</v>
      </c>
      <c r="P19" s="32" t="s">
        <v>129</v>
      </c>
      <c r="Q19" s="32" t="s">
        <v>139</v>
      </c>
      <c r="R19" s="33" t="s">
        <v>53</v>
      </c>
      <c r="S19" s="34" t="s">
        <v>81</v>
      </c>
      <c r="U19" s="32" t="s">
        <v>129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</row>
    <row r="20" spans="1:74" s="30" customFormat="1" ht="85.5">
      <c r="B20" s="31" t="s">
        <v>140</v>
      </c>
      <c r="C20" s="32" t="s">
        <v>41</v>
      </c>
      <c r="D20" s="32" t="s">
        <v>42</v>
      </c>
      <c r="E20" s="32" t="s">
        <v>141</v>
      </c>
      <c r="F20" s="32" t="s">
        <v>142</v>
      </c>
      <c r="G20" s="32" t="s">
        <v>123</v>
      </c>
      <c r="H20" s="32" t="s">
        <v>143</v>
      </c>
      <c r="I20" s="32" t="s">
        <v>144</v>
      </c>
      <c r="J20" s="32" t="s">
        <v>145</v>
      </c>
      <c r="K20" s="32" t="s">
        <v>146</v>
      </c>
      <c r="L20" s="32"/>
      <c r="M20" s="32" t="s">
        <v>36</v>
      </c>
      <c r="N20" s="32" t="s">
        <v>79</v>
      </c>
      <c r="O20" s="32" t="s">
        <v>37</v>
      </c>
      <c r="P20" s="32" t="s">
        <v>129</v>
      </c>
      <c r="Q20" s="32" t="s">
        <v>147</v>
      </c>
      <c r="R20" s="33" t="s">
        <v>53</v>
      </c>
      <c r="S20" s="34" t="s">
        <v>81</v>
      </c>
      <c r="T20" s="32"/>
      <c r="U20" s="32" t="s">
        <v>129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</row>
    <row r="21" spans="1:74" s="30" customFormat="1" ht="57">
      <c r="B21" s="31" t="s">
        <v>148</v>
      </c>
      <c r="C21" s="32" t="s">
        <v>41</v>
      </c>
      <c r="D21" s="32" t="s">
        <v>42</v>
      </c>
      <c r="E21" s="32" t="s">
        <v>149</v>
      </c>
      <c r="F21" s="32" t="s">
        <v>142</v>
      </c>
      <c r="G21" s="32" t="s">
        <v>123</v>
      </c>
      <c r="H21" s="32" t="s">
        <v>150</v>
      </c>
      <c r="I21" s="32" t="s">
        <v>151</v>
      </c>
      <c r="J21" s="32" t="s">
        <v>152</v>
      </c>
      <c r="K21" s="32" t="s">
        <v>153</v>
      </c>
      <c r="L21" s="32"/>
      <c r="M21" s="32" t="s">
        <v>36</v>
      </c>
      <c r="N21" s="32" t="s">
        <v>79</v>
      </c>
      <c r="O21" s="32" t="s">
        <v>37</v>
      </c>
      <c r="P21" s="32" t="s">
        <v>129</v>
      </c>
      <c r="Q21" s="32" t="s">
        <v>154</v>
      </c>
      <c r="R21" s="33" t="s">
        <v>53</v>
      </c>
      <c r="S21" s="34" t="s">
        <v>81</v>
      </c>
      <c r="T21" s="32"/>
      <c r="U21" s="32" t="s">
        <v>129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</row>
    <row r="22" spans="1:74" ht="42.75">
      <c r="B22" s="23" t="s">
        <v>155</v>
      </c>
      <c r="C22" s="24" t="s">
        <v>41</v>
      </c>
      <c r="D22" s="24" t="s">
        <v>42</v>
      </c>
      <c r="E22" s="24" t="s">
        <v>156</v>
      </c>
      <c r="F22" s="24" t="s">
        <v>157</v>
      </c>
      <c r="G22" s="24" t="s">
        <v>158</v>
      </c>
      <c r="H22" s="24" t="s">
        <v>159</v>
      </c>
      <c r="I22" s="24" t="s">
        <v>160</v>
      </c>
      <c r="J22" s="24" t="s">
        <v>161</v>
      </c>
      <c r="K22" s="24" t="s">
        <v>162</v>
      </c>
      <c r="L22" s="24"/>
      <c r="M22" s="24" t="s">
        <v>36</v>
      </c>
      <c r="N22" s="24" t="s">
        <v>79</v>
      </c>
      <c r="O22" s="24" t="s">
        <v>37</v>
      </c>
      <c r="P22" s="24" t="s">
        <v>163</v>
      </c>
      <c r="Q22" s="24"/>
      <c r="R22" s="25" t="s">
        <v>53</v>
      </c>
      <c r="S22" s="28" t="s">
        <v>39</v>
      </c>
      <c r="T22" s="24"/>
      <c r="U22" s="24" t="s">
        <v>163</v>
      </c>
    </row>
    <row r="23" spans="1:74" ht="39.950000000000003" customHeight="1">
      <c r="B23" s="24" t="s">
        <v>164</v>
      </c>
      <c r="C23" s="24" t="s">
        <v>41</v>
      </c>
      <c r="D23" s="24" t="s">
        <v>165</v>
      </c>
      <c r="E23" s="24" t="s">
        <v>166</v>
      </c>
      <c r="F23" s="24" t="s">
        <v>167</v>
      </c>
      <c r="G23" s="24" t="s">
        <v>123</v>
      </c>
      <c r="H23" s="24" t="s">
        <v>168</v>
      </c>
      <c r="I23" s="24" t="s">
        <v>169</v>
      </c>
      <c r="J23" s="24" t="s">
        <v>170</v>
      </c>
      <c r="K23" s="24" t="s">
        <v>171</v>
      </c>
      <c r="L23" s="24"/>
      <c r="M23" s="24" t="s">
        <v>36</v>
      </c>
      <c r="N23" s="24" t="s">
        <v>50</v>
      </c>
      <c r="O23" s="24" t="s">
        <v>50</v>
      </c>
      <c r="P23" s="24" t="s">
        <v>129</v>
      </c>
      <c r="Q23" s="24" t="s">
        <v>172</v>
      </c>
      <c r="R23" s="25" t="s">
        <v>53</v>
      </c>
      <c r="S23" s="28" t="s">
        <v>81</v>
      </c>
      <c r="T23" s="25"/>
      <c r="U23" s="24" t="s">
        <v>129</v>
      </c>
    </row>
    <row r="24" spans="1:74" ht="57">
      <c r="B24" s="23" t="s">
        <v>173</v>
      </c>
      <c r="C24" s="24" t="s">
        <v>41</v>
      </c>
      <c r="D24" s="24" t="s">
        <v>174</v>
      </c>
      <c r="E24" s="25" t="s">
        <v>175</v>
      </c>
      <c r="F24" s="25" t="s">
        <v>142</v>
      </c>
      <c r="G24" s="24" t="s">
        <v>158</v>
      </c>
      <c r="H24" s="25" t="s">
        <v>168</v>
      </c>
      <c r="I24" s="25" t="s">
        <v>176</v>
      </c>
      <c r="J24" s="25" t="s">
        <v>177</v>
      </c>
      <c r="K24" s="25" t="s">
        <v>178</v>
      </c>
      <c r="L24" s="25"/>
      <c r="M24" s="24" t="s">
        <v>36</v>
      </c>
      <c r="N24" s="24" t="s">
        <v>79</v>
      </c>
      <c r="O24" s="24" t="s">
        <v>37</v>
      </c>
      <c r="P24" s="25" t="s">
        <v>163</v>
      </c>
      <c r="Q24" s="25"/>
      <c r="R24" s="25" t="s">
        <v>53</v>
      </c>
      <c r="S24" s="28" t="s">
        <v>81</v>
      </c>
      <c r="T24" s="25"/>
      <c r="U24" s="25" t="s">
        <v>163</v>
      </c>
    </row>
    <row r="25" spans="1:74" ht="71.25">
      <c r="B25" s="23" t="s">
        <v>179</v>
      </c>
      <c r="C25" s="24" t="s">
        <v>41</v>
      </c>
      <c r="D25" s="24" t="s">
        <v>180</v>
      </c>
      <c r="E25" s="27" t="s">
        <v>181</v>
      </c>
      <c r="F25" s="24" t="s">
        <v>44</v>
      </c>
      <c r="G25" s="24" t="s">
        <v>45</v>
      </c>
      <c r="H25" s="25" t="s">
        <v>182</v>
      </c>
      <c r="I25" s="25" t="s">
        <v>183</v>
      </c>
      <c r="J25" s="25" t="s">
        <v>184</v>
      </c>
      <c r="K25" s="25" t="s">
        <v>185</v>
      </c>
      <c r="L25" s="25"/>
      <c r="M25" s="24" t="s">
        <v>36</v>
      </c>
      <c r="N25" s="24" t="s">
        <v>50</v>
      </c>
      <c r="O25" s="24" t="s">
        <v>50</v>
      </c>
      <c r="P25" s="24" t="s">
        <v>51</v>
      </c>
      <c r="Q25" s="25"/>
      <c r="R25" s="25" t="s">
        <v>53</v>
      </c>
      <c r="S25" s="28" t="s">
        <v>70</v>
      </c>
      <c r="T25" s="25" t="s">
        <v>186</v>
      </c>
      <c r="U25" s="24" t="s">
        <v>51</v>
      </c>
    </row>
    <row r="26" spans="1:74" ht="71.25">
      <c r="B26" s="23" t="s">
        <v>187</v>
      </c>
      <c r="C26" s="24" t="s">
        <v>41</v>
      </c>
      <c r="D26" s="24" t="s">
        <v>188</v>
      </c>
      <c r="E26" s="27" t="s">
        <v>189</v>
      </c>
      <c r="F26" s="24" t="s">
        <v>44</v>
      </c>
      <c r="G26" s="24" t="s">
        <v>45</v>
      </c>
      <c r="H26" s="25" t="s">
        <v>182</v>
      </c>
      <c r="I26" s="25" t="s">
        <v>190</v>
      </c>
      <c r="J26" s="25" t="s">
        <v>184</v>
      </c>
      <c r="K26" s="25" t="s">
        <v>185</v>
      </c>
      <c r="L26" s="25"/>
      <c r="M26" s="24" t="s">
        <v>36</v>
      </c>
      <c r="N26" s="24" t="s">
        <v>50</v>
      </c>
      <c r="O26" s="24" t="s">
        <v>50</v>
      </c>
      <c r="P26" s="24" t="s">
        <v>51</v>
      </c>
      <c r="Q26" s="25"/>
      <c r="R26" s="25" t="s">
        <v>53</v>
      </c>
      <c r="S26" s="28" t="s">
        <v>70</v>
      </c>
      <c r="T26" s="25" t="s">
        <v>186</v>
      </c>
      <c r="U26" s="24" t="s">
        <v>51</v>
      </c>
    </row>
    <row r="27" spans="1:74" ht="99.75">
      <c r="B27" s="23" t="s">
        <v>191</v>
      </c>
      <c r="C27" s="24" t="s">
        <v>41</v>
      </c>
      <c r="D27" s="24" t="s">
        <v>192</v>
      </c>
      <c r="E27" s="27" t="s">
        <v>193</v>
      </c>
      <c r="F27" s="24" t="s">
        <v>44</v>
      </c>
      <c r="G27" s="24" t="s">
        <v>45</v>
      </c>
      <c r="H27" s="25" t="s">
        <v>182</v>
      </c>
      <c r="I27" s="25" t="s">
        <v>194</v>
      </c>
      <c r="J27" s="25" t="s">
        <v>184</v>
      </c>
      <c r="K27" s="25" t="s">
        <v>195</v>
      </c>
      <c r="L27" s="25"/>
      <c r="M27" s="24" t="s">
        <v>36</v>
      </c>
      <c r="N27" s="24" t="s">
        <v>50</v>
      </c>
      <c r="O27" s="24" t="s">
        <v>37</v>
      </c>
      <c r="P27" s="24" t="s">
        <v>51</v>
      </c>
      <c r="Q27" s="25" t="s">
        <v>196</v>
      </c>
      <c r="R27" s="25" t="s">
        <v>53</v>
      </c>
      <c r="S27" s="28" t="s">
        <v>70</v>
      </c>
      <c r="T27" s="25" t="s">
        <v>197</v>
      </c>
      <c r="U27" s="24" t="s">
        <v>51</v>
      </c>
    </row>
    <row r="28" spans="1:74" ht="71.25">
      <c r="B28" s="23" t="s">
        <v>128</v>
      </c>
      <c r="C28" s="24" t="s">
        <v>41</v>
      </c>
      <c r="D28" s="24" t="s">
        <v>198</v>
      </c>
      <c r="E28" s="25" t="s">
        <v>199</v>
      </c>
      <c r="F28" s="25" t="s">
        <v>122</v>
      </c>
      <c r="G28" s="24" t="s">
        <v>200</v>
      </c>
      <c r="H28" s="25" t="s">
        <v>201</v>
      </c>
      <c r="I28" s="25" t="s">
        <v>202</v>
      </c>
      <c r="J28" s="25" t="s">
        <v>203</v>
      </c>
      <c r="K28" s="25" t="s">
        <v>204</v>
      </c>
      <c r="L28" s="25" t="s">
        <v>120</v>
      </c>
      <c r="M28" s="24" t="s">
        <v>36</v>
      </c>
      <c r="N28" s="25" t="s">
        <v>205</v>
      </c>
      <c r="O28" s="25" t="s">
        <v>206</v>
      </c>
      <c r="P28" s="25" t="s">
        <v>207</v>
      </c>
      <c r="Q28" s="25" t="s">
        <v>208</v>
      </c>
      <c r="R28" s="25" t="s">
        <v>53</v>
      </c>
      <c r="S28" s="28" t="s">
        <v>70</v>
      </c>
      <c r="T28" s="25" t="s">
        <v>209</v>
      </c>
      <c r="U28" s="25" t="s">
        <v>207</v>
      </c>
    </row>
    <row r="29" spans="1:74" ht="85.5">
      <c r="B29" s="23" t="s">
        <v>138</v>
      </c>
      <c r="C29" s="26" t="s">
        <v>41</v>
      </c>
      <c r="D29" s="24" t="s">
        <v>210</v>
      </c>
      <c r="E29" s="25" t="s">
        <v>211</v>
      </c>
      <c r="F29" s="25" t="s">
        <v>212</v>
      </c>
      <c r="G29" s="24" t="s">
        <v>200</v>
      </c>
      <c r="H29" s="25" t="s">
        <v>213</v>
      </c>
      <c r="I29" s="25" t="s">
        <v>214</v>
      </c>
      <c r="J29" s="25" t="s">
        <v>215</v>
      </c>
      <c r="K29" s="25" t="s">
        <v>216</v>
      </c>
      <c r="L29" s="25" t="s">
        <v>132</v>
      </c>
      <c r="M29" s="24" t="s">
        <v>36</v>
      </c>
      <c r="N29" s="25" t="s">
        <v>205</v>
      </c>
      <c r="O29" s="25" t="s">
        <v>206</v>
      </c>
      <c r="P29" s="25" t="s">
        <v>207</v>
      </c>
      <c r="Q29" s="25" t="s">
        <v>217</v>
      </c>
      <c r="R29" s="25" t="s">
        <v>53</v>
      </c>
      <c r="S29" s="28" t="s">
        <v>81</v>
      </c>
      <c r="T29" s="25"/>
      <c r="U29" s="25" t="s">
        <v>207</v>
      </c>
    </row>
    <row r="30" spans="1:74" ht="71.25">
      <c r="B30" s="23" t="s">
        <v>218</v>
      </c>
      <c r="C30" s="26" t="s">
        <v>41</v>
      </c>
      <c r="D30" s="25" t="s">
        <v>219</v>
      </c>
      <c r="E30" s="25" t="s">
        <v>220</v>
      </c>
      <c r="F30" s="25" t="s">
        <v>122</v>
      </c>
      <c r="G30" s="24" t="s">
        <v>200</v>
      </c>
      <c r="H30" s="25" t="s">
        <v>168</v>
      </c>
      <c r="I30" s="25" t="s">
        <v>221</v>
      </c>
      <c r="J30" s="25" t="s">
        <v>222</v>
      </c>
      <c r="K30" s="25" t="s">
        <v>223</v>
      </c>
      <c r="L30" s="25"/>
      <c r="M30" s="24" t="s">
        <v>36</v>
      </c>
      <c r="N30" s="25" t="s">
        <v>205</v>
      </c>
      <c r="O30" s="25" t="s">
        <v>37</v>
      </c>
      <c r="P30" s="25" t="s">
        <v>207</v>
      </c>
      <c r="Q30" s="25"/>
      <c r="R30" s="25" t="s">
        <v>53</v>
      </c>
      <c r="S30" s="28" t="s">
        <v>70</v>
      </c>
      <c r="T30" s="35"/>
      <c r="U30" s="35" t="s">
        <v>207</v>
      </c>
    </row>
    <row r="31" spans="1:74" ht="99.75">
      <c r="B31" s="23" t="s">
        <v>224</v>
      </c>
      <c r="C31" s="26" t="s">
        <v>53</v>
      </c>
      <c r="D31" s="25" t="s">
        <v>198</v>
      </c>
      <c r="E31" s="25" t="s">
        <v>225</v>
      </c>
      <c r="F31" s="25" t="s">
        <v>122</v>
      </c>
      <c r="G31" s="24" t="s">
        <v>200</v>
      </c>
      <c r="H31" s="25" t="s">
        <v>201</v>
      </c>
      <c r="I31" s="25" t="s">
        <v>202</v>
      </c>
      <c r="J31" s="25" t="s">
        <v>203</v>
      </c>
      <c r="K31" s="25" t="s">
        <v>204</v>
      </c>
      <c r="L31" s="25"/>
      <c r="M31" s="24" t="s">
        <v>36</v>
      </c>
      <c r="N31" s="25" t="s">
        <v>205</v>
      </c>
      <c r="O31" s="25" t="s">
        <v>206</v>
      </c>
      <c r="P31" s="25" t="s">
        <v>207</v>
      </c>
      <c r="Q31" s="25" t="s">
        <v>226</v>
      </c>
      <c r="R31" s="25" t="s">
        <v>227</v>
      </c>
      <c r="S31" s="23" t="s">
        <v>39</v>
      </c>
      <c r="T31" s="25"/>
      <c r="U31" s="25"/>
    </row>
    <row r="32" spans="1:74" ht="57">
      <c r="A32" s="7"/>
      <c r="B32" s="24" t="s">
        <v>228</v>
      </c>
      <c r="C32" s="24" t="s">
        <v>53</v>
      </c>
      <c r="D32" s="24" t="s">
        <v>42</v>
      </c>
      <c r="E32" s="24" t="s">
        <v>229</v>
      </c>
      <c r="F32" s="24" t="s">
        <v>142</v>
      </c>
      <c r="G32" s="24" t="s">
        <v>230</v>
      </c>
      <c r="H32" s="24" t="s">
        <v>115</v>
      </c>
      <c r="I32" s="24" t="s">
        <v>231</v>
      </c>
      <c r="J32" s="24" t="s">
        <v>232</v>
      </c>
      <c r="K32" s="24" t="s">
        <v>233</v>
      </c>
      <c r="L32" s="24"/>
      <c r="M32" s="24" t="s">
        <v>36</v>
      </c>
      <c r="N32" s="24" t="s">
        <v>95</v>
      </c>
      <c r="O32" s="24" t="s">
        <v>96</v>
      </c>
      <c r="P32" s="24" t="s">
        <v>51</v>
      </c>
      <c r="Q32" s="24" t="s">
        <v>234</v>
      </c>
      <c r="R32" s="25" t="s">
        <v>227</v>
      </c>
      <c r="S32" s="23" t="s">
        <v>39</v>
      </c>
      <c r="T32" s="29"/>
      <c r="U32" s="24"/>
    </row>
    <row r="33" spans="2:19" ht="14.25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7"/>
      <c r="Q33" s="17"/>
      <c r="R33" s="17"/>
      <c r="S33" s="2"/>
    </row>
    <row r="34" spans="2:19" ht="14.25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7"/>
      <c r="Q34" s="17"/>
      <c r="R34" s="17"/>
      <c r="S34" s="2"/>
    </row>
    <row r="35" spans="2:19" ht="14.25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7"/>
      <c r="Q35" s="17"/>
      <c r="R35" s="17"/>
      <c r="S35" s="2"/>
    </row>
    <row r="36" spans="2:19" ht="14.25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7"/>
      <c r="Q36" s="17"/>
      <c r="R36" s="17"/>
      <c r="S36" s="2"/>
    </row>
    <row r="37" spans="2:19" ht="14.25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7"/>
      <c r="Q37" s="17"/>
      <c r="R37" s="17"/>
      <c r="S37" s="2"/>
    </row>
    <row r="38" spans="2:19" ht="14.25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7"/>
      <c r="Q38" s="17"/>
      <c r="R38" s="17"/>
      <c r="S38" s="2"/>
    </row>
    <row r="39" spans="2:19" ht="14.2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7"/>
      <c r="Q39" s="17"/>
      <c r="R39" s="17"/>
      <c r="S39" s="2"/>
    </row>
    <row r="40" spans="2:19" ht="14.25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7"/>
      <c r="Q40" s="17"/>
      <c r="R40" s="17"/>
      <c r="S40" s="2"/>
    </row>
    <row r="41" spans="2:19" ht="14.25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7"/>
      <c r="Q41" s="17"/>
      <c r="R41" s="17"/>
      <c r="S41" s="2"/>
    </row>
    <row r="42" spans="2:19" ht="14.25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7"/>
      <c r="Q42" s="17"/>
      <c r="R42" s="17"/>
      <c r="S42" s="2"/>
    </row>
    <row r="43" spans="2:19" ht="14.25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7"/>
      <c r="Q43" s="17"/>
      <c r="R43" s="17"/>
      <c r="S43" s="2"/>
    </row>
    <row r="44" spans="2:19" ht="14.25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7"/>
      <c r="Q44" s="17"/>
      <c r="R44" s="17"/>
      <c r="S44" s="2"/>
    </row>
    <row r="45" spans="2:19" ht="14.2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7"/>
      <c r="Q45" s="17"/>
      <c r="R45" s="17"/>
      <c r="S45" s="2"/>
    </row>
    <row r="46" spans="2:19" ht="14.25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7"/>
      <c r="Q46" s="17"/>
      <c r="R46" s="17"/>
      <c r="S46" s="2"/>
    </row>
    <row r="47" spans="2:19" ht="14.25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7"/>
      <c r="Q47" s="17"/>
      <c r="R47" s="17"/>
      <c r="S47" s="2"/>
    </row>
    <row r="48" spans="2:19" ht="14.25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7"/>
      <c r="Q48" s="17"/>
      <c r="R48" s="17"/>
      <c r="S48" s="2"/>
    </row>
    <row r="49" spans="2:19" ht="14.25"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2"/>
    </row>
    <row r="50" spans="2:19" ht="14.25">
      <c r="B50" s="17"/>
      <c r="C50" s="1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2"/>
    </row>
    <row r="51" spans="2:19" ht="14.25">
      <c r="B51" s="17"/>
      <c r="C51" s="1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2"/>
    </row>
    <row r="52" spans="2:19">
      <c r="B52" s="2"/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2:19">
      <c r="B53" s="2"/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2:19">
      <c r="B54" s="2"/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2:19">
      <c r="B55" s="2"/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2:19">
      <c r="B56" s="2"/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2:19">
      <c r="B57" s="2"/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2:19">
      <c r="B58" s="2"/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</sheetData>
  <mergeCells count="5">
    <mergeCell ref="K2:Q4"/>
    <mergeCell ref="B4:B5"/>
    <mergeCell ref="C4:G5"/>
    <mergeCell ref="B1:G3"/>
    <mergeCell ref="I2:J2"/>
  </mergeCells>
  <phoneticPr fontId="18" type="noConversion"/>
  <dataValidations disablePrompts="1" count="4">
    <dataValidation type="list" allowBlank="1" showErrorMessage="1" sqref="S15:S17 M32 M8:M22 M23:M27" xr:uid="{00000000-0002-0000-0000-000002000000}">
      <formula1>"To do,In progress,In review,Done,Discarded"</formula1>
    </dataValidation>
    <dataValidation type="list" allowBlank="1" showErrorMessage="1" sqref="O32 O8:O22 O23:O27" xr:uid="{00000000-0002-0000-0000-000003000000}">
      <formula1>"Priority,High,Medium,Low"</formula1>
    </dataValidation>
    <dataValidation type="list" allowBlank="1" showErrorMessage="1" sqref="N32 N8:N22 N23:N27" xr:uid="{00000000-0002-0000-0000-000004000000}">
      <formula1>"Severity,Minor,Medium,Major,Critical"</formula1>
    </dataValidation>
    <dataValidation type="list" allowBlank="1" showErrorMessage="1" sqref="S8:S14 S18:S22 S23:S32" xr:uid="{684845F3-102C-4FCA-9180-E33F2009E7BE}">
      <formula1>"Pending, Failed, Passed"</formula1>
    </dataValidation>
  </dataValidations>
  <pageMargins left="0" right="0" top="0" bottom="0" header="0" footer="0"/>
  <pageSetup scale="2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5899-9226-41BA-B1E4-27BD09BB8C42}">
  <dimension ref="A1"/>
  <sheetViews>
    <sheetView workbookViewId="0"/>
  </sheetViews>
  <sheetFormatPr defaultColWidth="8.85546875" defaultRowHeight="12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CA0B987B24DA44AFA9BBE28F005080" ma:contentTypeVersion="3" ma:contentTypeDescription="Create a new document." ma:contentTypeScope="" ma:versionID="8bf357fd6202965e903720631d71f5e6">
  <xsd:schema xmlns:xsd="http://www.w3.org/2001/XMLSchema" xmlns:xs="http://www.w3.org/2001/XMLSchema" xmlns:p="http://schemas.microsoft.com/office/2006/metadata/properties" xmlns:ns2="63f2d884-1ee3-42be-923f-2b771a25ad21" targetNamespace="http://schemas.microsoft.com/office/2006/metadata/properties" ma:root="true" ma:fieldsID="5a6b8873045ee27056a6fb7d0e66aff3" ns2:_="">
    <xsd:import namespace="63f2d884-1ee3-42be-923f-2b771a25ad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2d884-1ee3-42be-923f-2b771a25a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CDF3D-F3A8-4479-A1E4-ACDC6B9711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2d884-1ee3-42be-923f-2b771a25ad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7E0B39-AFCF-4D64-9484-0BB0C5038AF8}">
  <ds:schemaRefs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63f2d884-1ee3-42be-923f-2b771a25ad2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5523298-4CCC-4016-A057-8BE6C5D35D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Jason Chiu</cp:lastModifiedBy>
  <cp:revision/>
  <cp:lastPrinted>2026-02-06T04:59:49Z</cp:lastPrinted>
  <dcterms:created xsi:type="dcterms:W3CDTF">2026-02-04T03:16:05Z</dcterms:created>
  <dcterms:modified xsi:type="dcterms:W3CDTF">2026-02-06T22:58:32Z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0x0101006BCA0B987B24DA44AFA9BBE28F005080</vt:lpwstr>
  </property>
</Properties>
</file>